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User\Desktop\Programming-C\OOP_2semestr\Vector\"/>
    </mc:Choice>
  </mc:AlternateContent>
  <xr:revisionPtr revIDLastSave="0" documentId="13_ncr:1_{0432EFB4-ED0F-449F-8347-6066679A28F2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2" i="1"/>
  <c r="P2" i="1"/>
  <c r="O3" i="1"/>
  <c r="O4" i="1"/>
  <c r="O5" i="1"/>
  <c r="O6" i="1"/>
  <c r="O7" i="1"/>
  <c r="O8" i="1"/>
  <c r="O2" i="1"/>
  <c r="N3" i="1"/>
  <c r="N4" i="1"/>
  <c r="N5" i="1"/>
  <c r="N6" i="1"/>
  <c r="N7" i="1"/>
  <c r="N8" i="1"/>
  <c r="N2" i="1"/>
  <c r="M3" i="1"/>
  <c r="M4" i="1"/>
  <c r="M5" i="1"/>
  <c r="M6" i="1"/>
  <c r="M7" i="1"/>
  <c r="M8" i="1"/>
  <c r="M2" i="1"/>
  <c r="L3" i="1"/>
  <c r="L4" i="1"/>
  <c r="L5" i="1"/>
  <c r="L6" i="1"/>
  <c r="L7" i="1"/>
  <c r="L8" i="1"/>
  <c r="L2" i="1"/>
  <c r="K3" i="1"/>
  <c r="K4" i="1"/>
  <c r="K5" i="1"/>
  <c r="K6" i="1"/>
  <c r="K7" i="1"/>
  <c r="K8" i="1"/>
  <c r="K2" i="1"/>
</calcChain>
</file>

<file path=xl/sharedStrings.xml><?xml version="1.0" encoding="utf-8"?>
<sst xmlns="http://schemas.openxmlformats.org/spreadsheetml/2006/main" count="24" uniqueCount="22">
  <si>
    <t>Итерация</t>
  </si>
  <si>
    <t>Операций</t>
  </si>
  <si>
    <t>n-1</t>
  </si>
  <si>
    <t>n-2</t>
  </si>
  <si>
    <t>n-3</t>
  </si>
  <si>
    <t>…</t>
  </si>
  <si>
    <t>n</t>
  </si>
  <si>
    <t>S=n(n-1)/2</t>
  </si>
  <si>
    <t>S=n^2-n/2</t>
  </si>
  <si>
    <t>S=0.5n^2-0.5n</t>
  </si>
  <si>
    <t>Отбрасываем константы и младшие степени и получается что скорость алгоритма равна O(n^2)</t>
  </si>
  <si>
    <t>N</t>
  </si>
  <si>
    <t>Ansewer</t>
  </si>
  <si>
    <t>Time</t>
  </si>
  <si>
    <t>g(N)</t>
  </si>
  <si>
    <t>Числитель</t>
  </si>
  <si>
    <t>Знаменатель</t>
  </si>
  <si>
    <t>k</t>
  </si>
  <si>
    <t xml:space="preserve">f(N) </t>
  </si>
  <si>
    <t>Теорическое время (f(N)/k):</t>
  </si>
  <si>
    <t>Видим на графике что теорическое время совпало с практическим значит алгоритм O(N^2)</t>
  </si>
  <si>
    <t>Так как 2 цикла(1 из них в remove) значит общее число операций их сумма: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</si>
</sst>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Лист1!$L$1</c:f>
              <c:strCache>
                <c:ptCount val="1"/>
                <c:pt idx="0">
                  <c:v>g(N)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Лист1!$K$2:$K$8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xVal>
          <c:yVal>
            <c:numRef>
              <c:f>Лист1!$L$2:$L$8</c:f>
              <c:numCache>
                <c:formatCode>General</c:formatCode>
                <c:ptCount val="7"/>
                <c:pt idx="0">
                  <c:v>1E-3</c:v>
                </c:pt>
                <c:pt idx="1">
                  <c:v>2.1000000000000001E-2</c:v>
                </c:pt>
                <c:pt idx="2">
                  <c:v>8.2000000000000003E-2</c:v>
                </c:pt>
                <c:pt idx="3">
                  <c:v>1.956</c:v>
                </c:pt>
                <c:pt idx="4">
                  <c:v>7.806</c:v>
                </c:pt>
                <c:pt idx="5">
                  <c:v>204.49600000000001</c:v>
                </c:pt>
                <c:pt idx="6">
                  <c:v>811.27700000000004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27-4013-83BF-0076B39EA210}"/>
            </c:ext>
          </c:extLst>
        </c:ser>
        <c:ser>
          <c:idx val="1"/>
          <c:order val="1"/>
          <c:tx>
            <c:v>f(N)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Лист1!$K$2:$K$8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xVal>
          <c:yVal>
            <c:numRef>
              <c:f>Лист1!$Q$2:$Q$8</c:f>
              <c:numCache>
                <c:formatCode>General</c:formatCode>
                <c:ptCount val="7"/>
                <c:pt idx="0">
                  <c:v>8.1167161939692159E-4</c:v>
                </c:pt>
                <c:pt idx="1">
                  <c:v>2.029179048492304E-2</c:v>
                </c:pt>
                <c:pt idx="2">
                  <c:v>8.1167161939692159E-2</c:v>
                </c:pt>
                <c:pt idx="3">
                  <c:v>2.029179048492304</c:v>
                </c:pt>
                <c:pt idx="4">
                  <c:v>8.1167161939692161</c:v>
                </c:pt>
                <c:pt idx="5">
                  <c:v>202.91790484923038</c:v>
                </c:pt>
                <c:pt idx="6">
                  <c:v>811.67161939692153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27-4013-83BF-0076B39EA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327072"/>
        <c:axId val="2079890560"/>
      </c:scatterChart>
      <c:valAx>
        <c:axId val="211132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9890560"/>
        <c:crosses val="autoZero"/>
        <c:crossBetween val="midCat"/>
      </c:valAx>
      <c:valAx>
        <c:axId val="20798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327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15</xdr:row>
      <xdr:rowOff>0</xdr:rowOff>
    </xdr:from>
    <xdr:to>
      <xdr:col>21</xdr:col>
      <xdr:colOff>304800</xdr:colOff>
      <xdr:row>16</xdr:row>
      <xdr:rowOff>114300</xdr:rowOff>
    </xdr:to>
    <xdr:sp macro="" textlink="">
      <xdr:nvSpPr>
        <xdr:cNvPr id="1025" name="AutoShape 1" descr="Выбранное изображение показано в окне просмотра.">
          <a:extLst>
            <a:ext uri="{FF2B5EF4-FFF2-40B4-BE49-F238E27FC236}">
              <a16:creationId xmlns:a16="http://schemas.microsoft.com/office/drawing/2014/main" id="{ECB89FFA-BB7F-450B-88A6-D63D5949F834}"/>
            </a:ext>
          </a:extLst>
        </xdr:cNvPr>
        <xdr:cNvSpPr>
          <a:spLocks noChangeAspect="1" noChangeArrowheads="1"/>
        </xdr:cNvSpPr>
      </xdr:nvSpPr>
      <xdr:spPr bwMode="auto">
        <a:xfrm>
          <a:off x="1339215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94660</xdr:colOff>
      <xdr:row>0</xdr:row>
      <xdr:rowOff>0</xdr:rowOff>
    </xdr:from>
    <xdr:to>
      <xdr:col>22</xdr:col>
      <xdr:colOff>515051</xdr:colOff>
      <xdr:row>21</xdr:row>
      <xdr:rowOff>1032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59648E3-1AF7-4D96-B692-D170F04CD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29710" y="0"/>
          <a:ext cx="2858791" cy="4201557"/>
        </a:xfrm>
        <a:prstGeom prst="rect">
          <a:avLst/>
        </a:prstGeom>
      </xdr:spPr>
    </xdr:pic>
    <xdr:clientData/>
  </xdr:twoCellAnchor>
  <xdr:twoCellAnchor>
    <xdr:from>
      <xdr:col>9</xdr:col>
      <xdr:colOff>257175</xdr:colOff>
      <xdr:row>9</xdr:row>
      <xdr:rowOff>23811</xdr:rowOff>
    </xdr:from>
    <xdr:to>
      <xdr:col>17</xdr:col>
      <xdr:colOff>333375</xdr:colOff>
      <xdr:row>28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C039BA1-5798-43BE-AA4D-8073C38AC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workbookViewId="0">
      <selection activeCell="G24" sqref="G24"/>
    </sheetView>
  </sheetViews>
  <sheetFormatPr defaultRowHeight="15" x14ac:dyDescent="0.25"/>
  <cols>
    <col min="1" max="1" width="13.28515625" customWidth="1"/>
    <col min="2" max="2" width="11.140625" customWidth="1"/>
    <col min="11" max="11" width="11.85546875" customWidth="1"/>
    <col min="12" max="12" width="10.85546875" customWidth="1"/>
    <col min="13" max="13" width="11.140625" customWidth="1"/>
    <col min="14" max="14" width="14.7109375" customWidth="1"/>
    <col min="15" max="15" width="13.140625" customWidth="1"/>
    <col min="17" max="17" width="28.42578125" customWidth="1"/>
  </cols>
  <sheetData>
    <row r="1" spans="1:22" ht="30.75" customHeight="1" x14ac:dyDescent="0.25">
      <c r="A1" s="4" t="s">
        <v>21</v>
      </c>
      <c r="B1" s="4"/>
      <c r="C1" s="4"/>
      <c r="D1" s="4"/>
      <c r="F1" t="s">
        <v>11</v>
      </c>
      <c r="G1" t="s">
        <v>12</v>
      </c>
      <c r="H1" t="s">
        <v>13</v>
      </c>
      <c r="K1" t="s">
        <v>11</v>
      </c>
      <c r="L1" t="s">
        <v>14</v>
      </c>
      <c r="M1" t="s">
        <v>18</v>
      </c>
      <c r="N1" t="s">
        <v>15</v>
      </c>
      <c r="O1" t="s">
        <v>16</v>
      </c>
      <c r="P1" t="s">
        <v>17</v>
      </c>
      <c r="Q1" t="s">
        <v>19</v>
      </c>
    </row>
    <row r="2" spans="1:22" x14ac:dyDescent="0.25">
      <c r="F2">
        <v>1000</v>
      </c>
      <c r="G2">
        <v>977</v>
      </c>
      <c r="H2">
        <v>1E-3</v>
      </c>
      <c r="K2">
        <f>F2</f>
        <v>1000</v>
      </c>
      <c r="L2">
        <f>H2</f>
        <v>1E-3</v>
      </c>
      <c r="M2">
        <f>K2^2</f>
        <v>1000000</v>
      </c>
      <c r="N2">
        <f>L2*M2</f>
        <v>1000</v>
      </c>
      <c r="O2">
        <f>L2^2</f>
        <v>9.9999999999999995E-7</v>
      </c>
      <c r="P2">
        <f>SUM(N2:N8)/SUM(O2:O8)</f>
        <v>1232025336.4815292</v>
      </c>
      <c r="Q2">
        <f>M2/$P$2</f>
        <v>8.1167161939692159E-4</v>
      </c>
    </row>
    <row r="3" spans="1:22" x14ac:dyDescent="0.25">
      <c r="A3" t="s">
        <v>0</v>
      </c>
      <c r="B3" t="s">
        <v>1</v>
      </c>
      <c r="F3">
        <v>5000</v>
      </c>
      <c r="G3">
        <v>1809</v>
      </c>
      <c r="H3">
        <v>2.1000000000000001E-2</v>
      </c>
      <c r="K3">
        <f t="shared" ref="K3:K8" si="0">F3</f>
        <v>5000</v>
      </c>
      <c r="L3">
        <f t="shared" ref="L3:L8" si="1">H3</f>
        <v>2.1000000000000001E-2</v>
      </c>
      <c r="M3">
        <f t="shared" ref="M3:M8" si="2">K3^2</f>
        <v>25000000</v>
      </c>
      <c r="N3">
        <f t="shared" ref="N3:N8" si="3">L3*M3</f>
        <v>525000</v>
      </c>
      <c r="O3">
        <f t="shared" ref="O3:O8" si="4">L3^2</f>
        <v>4.4100000000000004E-4</v>
      </c>
      <c r="Q3">
        <f t="shared" ref="Q3:Q8" si="5">M3/$P$2</f>
        <v>2.029179048492304E-2</v>
      </c>
    </row>
    <row r="4" spans="1:22" x14ac:dyDescent="0.25">
      <c r="A4">
        <v>1</v>
      </c>
      <c r="B4" t="s">
        <v>2</v>
      </c>
      <c r="F4">
        <v>10000</v>
      </c>
      <c r="G4">
        <v>3617</v>
      </c>
      <c r="H4">
        <v>8.2000000000000003E-2</v>
      </c>
      <c r="K4">
        <f t="shared" si="0"/>
        <v>10000</v>
      </c>
      <c r="L4">
        <f t="shared" si="1"/>
        <v>8.2000000000000003E-2</v>
      </c>
      <c r="M4">
        <f t="shared" si="2"/>
        <v>100000000</v>
      </c>
      <c r="N4">
        <f t="shared" si="3"/>
        <v>8200000</v>
      </c>
      <c r="O4">
        <f t="shared" si="4"/>
        <v>6.7240000000000008E-3</v>
      </c>
      <c r="Q4">
        <f t="shared" si="5"/>
        <v>8.1167161939692159E-2</v>
      </c>
    </row>
    <row r="5" spans="1:22" x14ac:dyDescent="0.25">
      <c r="A5">
        <v>2</v>
      </c>
      <c r="B5" t="s">
        <v>3</v>
      </c>
      <c r="F5">
        <v>50000</v>
      </c>
      <c r="G5">
        <v>34465</v>
      </c>
      <c r="H5">
        <v>1.956</v>
      </c>
      <c r="K5">
        <f t="shared" si="0"/>
        <v>50000</v>
      </c>
      <c r="L5">
        <f t="shared" si="1"/>
        <v>1.956</v>
      </c>
      <c r="M5">
        <f t="shared" si="2"/>
        <v>2500000000</v>
      </c>
      <c r="N5">
        <f t="shared" si="3"/>
        <v>4890000000</v>
      </c>
      <c r="O5">
        <f t="shared" si="4"/>
        <v>3.825936</v>
      </c>
      <c r="Q5">
        <f t="shared" si="5"/>
        <v>2.029179048492304</v>
      </c>
    </row>
    <row r="6" spans="1:22" x14ac:dyDescent="0.25">
      <c r="A6">
        <v>3</v>
      </c>
      <c r="B6" t="s">
        <v>4</v>
      </c>
      <c r="F6">
        <v>100000</v>
      </c>
      <c r="G6">
        <v>68929</v>
      </c>
      <c r="H6">
        <v>7.806</v>
      </c>
      <c r="K6">
        <f t="shared" si="0"/>
        <v>100000</v>
      </c>
      <c r="L6">
        <f t="shared" si="1"/>
        <v>7.806</v>
      </c>
      <c r="M6">
        <f t="shared" si="2"/>
        <v>10000000000</v>
      </c>
      <c r="N6">
        <f t="shared" si="3"/>
        <v>78060000000</v>
      </c>
      <c r="O6">
        <f t="shared" si="4"/>
        <v>60.933636</v>
      </c>
      <c r="Q6">
        <f t="shared" si="5"/>
        <v>8.1167161939692161</v>
      </c>
    </row>
    <row r="7" spans="1:22" x14ac:dyDescent="0.25">
      <c r="A7" t="s">
        <v>5</v>
      </c>
      <c r="B7" t="s">
        <v>5</v>
      </c>
      <c r="F7">
        <v>500000</v>
      </c>
      <c r="G7">
        <v>475713</v>
      </c>
      <c r="H7">
        <v>204.49600000000001</v>
      </c>
      <c r="K7">
        <f t="shared" si="0"/>
        <v>500000</v>
      </c>
      <c r="L7">
        <f t="shared" si="1"/>
        <v>204.49600000000001</v>
      </c>
      <c r="M7">
        <f t="shared" si="2"/>
        <v>250000000000</v>
      </c>
      <c r="N7">
        <f t="shared" si="3"/>
        <v>51124000000000</v>
      </c>
      <c r="O7">
        <f t="shared" si="4"/>
        <v>41818.614016000007</v>
      </c>
      <c r="Q7">
        <f t="shared" si="5"/>
        <v>202.91790484923038</v>
      </c>
    </row>
    <row r="8" spans="1:22" x14ac:dyDescent="0.25">
      <c r="A8" t="s">
        <v>6</v>
      </c>
      <c r="B8">
        <v>1</v>
      </c>
      <c r="F8">
        <v>1000000</v>
      </c>
      <c r="G8">
        <v>951425</v>
      </c>
      <c r="H8">
        <v>811.27700000000004</v>
      </c>
      <c r="K8">
        <f t="shared" si="0"/>
        <v>1000000</v>
      </c>
      <c r="L8">
        <f t="shared" si="1"/>
        <v>811.27700000000004</v>
      </c>
      <c r="M8">
        <f t="shared" si="2"/>
        <v>1000000000000</v>
      </c>
      <c r="N8">
        <f t="shared" si="3"/>
        <v>811277000000000</v>
      </c>
      <c r="O8">
        <f t="shared" si="4"/>
        <v>658170.37072900007</v>
      </c>
      <c r="Q8">
        <f t="shared" si="5"/>
        <v>811.67161939692153</v>
      </c>
    </row>
    <row r="10" spans="1:22" x14ac:dyDescent="0.25">
      <c r="A10" t="s">
        <v>7</v>
      </c>
    </row>
    <row r="11" spans="1:22" x14ac:dyDescent="0.25">
      <c r="A11" t="s">
        <v>8</v>
      </c>
    </row>
    <row r="12" spans="1:22" x14ac:dyDescent="0.25">
      <c r="A12" t="s">
        <v>9</v>
      </c>
    </row>
    <row r="14" spans="1:22" x14ac:dyDescent="0.25">
      <c r="A14" s="2" t="s">
        <v>10</v>
      </c>
      <c r="B14" s="2"/>
      <c r="C14" s="2"/>
    </row>
    <row r="15" spans="1:22" x14ac:dyDescent="0.25">
      <c r="A15" s="2"/>
      <c r="B15" s="2"/>
      <c r="C15" s="2"/>
    </row>
    <row r="16" spans="1:22" x14ac:dyDescent="0.25">
      <c r="A16" s="2"/>
      <c r="B16" s="2"/>
      <c r="C16" s="2"/>
      <c r="V16" s="1"/>
    </row>
    <row r="17" spans="1:17" x14ac:dyDescent="0.25">
      <c r="A17" s="2"/>
      <c r="B17" s="2"/>
      <c r="C17" s="2"/>
    </row>
    <row r="30" spans="1:17" x14ac:dyDescent="0.25">
      <c r="J30" s="3" t="s">
        <v>20</v>
      </c>
      <c r="K30" s="3"/>
      <c r="L30" s="3"/>
      <c r="M30" s="3"/>
      <c r="N30" s="3"/>
      <c r="O30" s="3"/>
      <c r="P30" s="3"/>
      <c r="Q30" s="3"/>
    </row>
  </sheetData>
  <mergeCells count="3">
    <mergeCell ref="A14:C17"/>
    <mergeCell ref="J30:Q30"/>
    <mergeCell ref="A1:D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2026-03-29T13:52:15Z</dcterms:modified>
</cp:coreProperties>
</file>